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HP\Desktop\"/>
    </mc:Choice>
  </mc:AlternateContent>
  <xr:revisionPtr revIDLastSave="0" documentId="13_ncr:1_{07F41123-5B1B-4FBE-BA9B-97B76B64750E}" xr6:coauthVersionLast="47" xr6:coauthVersionMax="47" xr10:uidLastSave="{00000000-0000-0000-0000-000000000000}"/>
  <bookViews>
    <workbookView xWindow="-108" yWindow="-108" windowWidth="23256" windowHeight="12456" activeTab="3" xr2:uid="{D9526D9A-30C7-46D3-99A8-2C037C167EB3}"/>
  </bookViews>
  <sheets>
    <sheet name="Portada" sheetId="1" r:id="rId1"/>
    <sheet name="Datos" sheetId="2" r:id="rId2"/>
    <sheet name="Calculos" sheetId="3" r:id="rId3"/>
    <sheet name="Resultados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3" l="1"/>
  <c r="E17" i="3"/>
  <c r="D17" i="3"/>
  <c r="C17" i="3"/>
  <c r="D4" i="3"/>
  <c r="N14" i="2"/>
  <c r="M14" i="2"/>
  <c r="F15" i="3"/>
  <c r="E15" i="3"/>
  <c r="D15" i="3"/>
  <c r="C15" i="3"/>
  <c r="F14" i="3"/>
  <c r="F16" i="3" s="1"/>
  <c r="E14" i="3"/>
  <c r="E16" i="3" s="1"/>
  <c r="D14" i="3"/>
  <c r="D16" i="3" s="1"/>
  <c r="C14" i="3"/>
  <c r="C16" i="3" s="1"/>
  <c r="F13" i="3"/>
  <c r="E13" i="3"/>
  <c r="D13" i="3"/>
  <c r="C13" i="3"/>
  <c r="E12" i="3"/>
  <c r="F12" i="3"/>
  <c r="D12" i="3"/>
  <c r="C12" i="3"/>
  <c r="F11" i="3"/>
  <c r="E11" i="3"/>
  <c r="D11" i="3"/>
  <c r="C11" i="3"/>
</calcChain>
</file>

<file path=xl/sharedStrings.xml><?xml version="1.0" encoding="utf-8"?>
<sst xmlns="http://schemas.openxmlformats.org/spreadsheetml/2006/main" count="34" uniqueCount="30">
  <si>
    <t>Paquestes</t>
  </si>
  <si>
    <t>Empaque</t>
  </si>
  <si>
    <t>Defectuosas</t>
  </si>
  <si>
    <t>Promedio</t>
  </si>
  <si>
    <t>Vainilla</t>
  </si>
  <si>
    <t>Chocolate</t>
  </si>
  <si>
    <t>Total</t>
  </si>
  <si>
    <t>Mediana</t>
  </si>
  <si>
    <t>Moda</t>
  </si>
  <si>
    <t>Desviacion estadar</t>
  </si>
  <si>
    <t>Varianza</t>
  </si>
  <si>
    <t>Coeficiente de variacion</t>
  </si>
  <si>
    <t>VAiNILLA(g)</t>
  </si>
  <si>
    <t>CHOCOLATE(g)</t>
  </si>
  <si>
    <t>Empaque(g)</t>
  </si>
  <si>
    <t>Comandos</t>
  </si>
  <si>
    <t>ctrl+a</t>
  </si>
  <si>
    <t>ctrl+s</t>
  </si>
  <si>
    <t>ctrl+d</t>
  </si>
  <si>
    <t>Desviacion estandar</t>
  </si>
  <si>
    <t>ctrl+f</t>
  </si>
  <si>
    <t>ctrl+g</t>
  </si>
  <si>
    <t>Coeficiente variacion</t>
  </si>
  <si>
    <t>ctrl+h</t>
  </si>
  <si>
    <t>Paquete de Galletas</t>
  </si>
  <si>
    <t xml:space="preserve">Promedio </t>
  </si>
  <si>
    <t>Curtosis</t>
  </si>
  <si>
    <t>ctrl+j</t>
  </si>
  <si>
    <t>Paquete de muestra(g)</t>
  </si>
  <si>
    <t>peso indicado(g)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</si>
</sst>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Peso</a:t>
            </a:r>
            <a:r>
              <a:rPr lang="es-CR" baseline="0"/>
              <a:t> de las muestra vs Peso indicado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7.1594925634295717E-2"/>
          <c:y val="0.30076443569553807"/>
          <c:w val="0.8839606299212597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Datos!$M$8</c:f>
              <c:strCache>
                <c:ptCount val="1"/>
                <c:pt idx="0">
                  <c:v>Paquete de muestra(g)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Datos!$M$9:$M$14</c:f>
              <c:numCache>
                <c:formatCode>General</c:formatCode>
                <c:ptCount val="6"/>
                <c:pt idx="0">
                  <c:v>31.85</c:v>
                </c:pt>
                <c:pt idx="1">
                  <c:v>31.62</c:v>
                </c:pt>
                <c:pt idx="2">
                  <c:v>31.86</c:v>
                </c:pt>
                <c:pt idx="3">
                  <c:v>31.88</c:v>
                </c:pt>
                <c:pt idx="4">
                  <c:v>31.49</c:v>
                </c:pt>
                <c:pt idx="5">
                  <c:v>31.74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7-44C4-80EA-AF39B4D15012}"/>
            </c:ext>
          </c:extLst>
        </c:ser>
        <c:ser>
          <c:idx val="1"/>
          <c:order val="1"/>
          <c:tx>
            <c:strRef>
              <c:f>Datos!$N$8</c:f>
              <c:strCache>
                <c:ptCount val="1"/>
                <c:pt idx="0">
                  <c:v>peso indicado(g)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Datos!$N$9:$N$14</c:f>
              <c:numCache>
                <c:formatCode>General</c:formatCode>
                <c:ptCount val="6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27-44C4-80EA-AF39B4D15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9376080"/>
        <c:axId val="1649363600"/>
      </c:barChart>
      <c:catAx>
        <c:axId val="1649376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9363600"/>
        <c:crosses val="autoZero"/>
        <c:auto val="1"/>
        <c:lblAlgn val="ctr"/>
        <c:lblOffset val="100"/>
        <c:noMultiLvlLbl val="0"/>
      </c:catAx>
      <c:valAx>
        <c:axId val="164936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937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152400</xdr:rowOff>
    </xdr:from>
    <xdr:to>
      <xdr:col>22</xdr:col>
      <xdr:colOff>409575</xdr:colOff>
      <xdr:row>41</xdr:row>
      <xdr:rowOff>38100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4470CE2-2F2B-4A02-9016-B139D40E1A4D}"/>
            </a:ext>
          </a:extLst>
        </xdr:cNvPr>
        <xdr:cNvSpPr txBox="1"/>
      </xdr:nvSpPr>
      <xdr:spPr>
        <a:xfrm>
          <a:off x="76200" y="152400"/>
          <a:ext cx="17097375" cy="769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 rtl="0"/>
          <a:r>
            <a:rPr lang="es-CR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Escuela de Producción Industrial.</a:t>
          </a:r>
          <a:br>
            <a:rPr lang="es-CR" sz="1400" b="0">
              <a:effectLst/>
            </a:rPr>
          </a:br>
          <a:endParaRPr lang="es-CR" sz="1400" b="0">
            <a:effectLst/>
          </a:endParaRPr>
        </a:p>
        <a:p>
          <a:pPr algn="ctr" rtl="0"/>
          <a:r>
            <a:rPr lang="es-CR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Probabilidad y Estadística </a:t>
          </a:r>
          <a:endParaRPr lang="es-CR" sz="1400" b="0">
            <a:effectLst/>
          </a:endParaRPr>
        </a:p>
        <a:p>
          <a:pPr algn="ctr"/>
          <a:r>
            <a:rPr lang="es-CR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CR" sz="1400" b="0">
            <a:effectLst/>
          </a:endParaRPr>
        </a:p>
        <a:p>
          <a:pPr algn="ctr"/>
          <a:endParaRPr lang="es-CR" sz="1400" b="0">
            <a:effectLst/>
          </a:endParaRPr>
        </a:p>
        <a:p>
          <a:pPr algn="ctr" rtl="0"/>
          <a:r>
            <a:rPr lang="es-CR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Daniel Eduardo Arce Munguía.</a:t>
          </a:r>
          <a:endParaRPr lang="es-CR" sz="1400" b="0">
            <a:effectLst/>
          </a:endParaRPr>
        </a:p>
        <a:p>
          <a:pPr algn="ctr" rtl="0"/>
          <a:endParaRPr lang="es-CR" sz="1400" b="0">
            <a:effectLst/>
          </a:endParaRPr>
        </a:p>
        <a:p>
          <a:pPr algn="ctr"/>
          <a:br>
            <a:rPr lang="es-CR" sz="1400"/>
          </a:br>
          <a:endParaRPr lang="es-C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9</xdr:col>
      <xdr:colOff>556260</xdr:colOff>
      <xdr:row>0</xdr:row>
      <xdr:rowOff>30480</xdr:rowOff>
    </xdr:from>
    <xdr:to>
      <xdr:col>12</xdr:col>
      <xdr:colOff>670560</xdr:colOff>
      <xdr:row>7</xdr:row>
      <xdr:rowOff>60081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F4F3203-F188-6621-DA6E-4E132A0BA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8580" y="30480"/>
          <a:ext cx="2491740" cy="13097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152400</xdr:rowOff>
    </xdr:from>
    <xdr:to>
      <xdr:col>20</xdr:col>
      <xdr:colOff>466725</xdr:colOff>
      <xdr:row>59</xdr:row>
      <xdr:rowOff>104775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4484485D-A201-D00F-5EAA-D47FC82E3991}"/>
            </a:ext>
          </a:extLst>
        </xdr:cNvPr>
        <xdr:cNvSpPr txBox="1"/>
      </xdr:nvSpPr>
      <xdr:spPr>
        <a:xfrm>
          <a:off x="0" y="3771900"/>
          <a:ext cx="17621250" cy="701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1400">
              <a:latin typeface="Arial" panose="020B0604020202020204" pitchFamily="34" charset="0"/>
              <a:cs typeface="Arial" panose="020B0604020202020204" pitchFamily="34" charset="0"/>
            </a:rPr>
            <a:t>Presentacion de galleta individual cremas de pozuelo 31,5 gramos</a:t>
          </a:r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endParaRPr lang="es-CR" sz="1100"/>
        </a:p>
        <a:p>
          <a:pPr marL="0" indent="0"/>
          <a:r>
            <a:rPr lang="es-CR" sz="14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Presentacion de paquete de 12 Galletas Cremas de Pozuelo. 378 gramos</a:t>
          </a: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s-CR" sz="1400" b="1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Materiales y</a:t>
          </a:r>
          <a:r>
            <a:rPr lang="es-CR" sz="1400" b="1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metodos.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-Balanza Analitica.</a:t>
          </a:r>
        </a:p>
        <a:p>
          <a:pPr marL="0" indent="0"/>
          <a:r>
            <a:rPr lang="es-CR" sz="14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-12 paquetes de galletas cremas</a:t>
          </a:r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Pozuelo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-Alcohol</a:t>
          </a:r>
        </a:p>
        <a:p>
          <a:pPr marL="0" indent="0"/>
          <a:r>
            <a:rPr lang="es-CR" sz="14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-Recipiente</a:t>
          </a:r>
        </a:p>
        <a:p>
          <a:pPr marL="0" indent="0"/>
          <a:r>
            <a:rPr lang="es-CR" sz="14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-Computadora</a:t>
          </a:r>
        </a:p>
        <a:p>
          <a:pPr marL="0" indent="0"/>
          <a:r>
            <a:rPr lang="es-CR" sz="1400" b="1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Procedimiento</a:t>
          </a:r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: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1-Montar el puesto para la balanza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2-Al tener la balanza,se debe de calibrar para los calculos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3- Lavar las manos y desinfectar el equipo para el experimento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4-Pesar cada galleta individualmentey se colocan en un recipiente desinfectado para las muestras, para luego proceder a llenar una hoja de registro de datos.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5- Los desechos de los paquetes se debe proceder a pesar y luego introducirlos en un recipiente para los desechos.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6-Limpiar y guardar el equipo, al terminar de pesar todas las muestra selecionadas.</a:t>
          </a:r>
        </a:p>
        <a:p>
          <a:pPr marL="0" indent="0"/>
          <a:r>
            <a:rPr lang="es-CR" sz="14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7-Trabajar con los datos obtenidos.</a:t>
          </a:r>
          <a:endParaRPr lang="es-CR" sz="1400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</xdr:colOff>
      <xdr:row>23</xdr:row>
      <xdr:rowOff>60960</xdr:rowOff>
    </xdr:from>
    <xdr:to>
      <xdr:col>4</xdr:col>
      <xdr:colOff>441961</xdr:colOff>
      <xdr:row>29</xdr:row>
      <xdr:rowOff>175260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904C5AE-2632-3A9A-E056-23CD5E0940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010" b="14061"/>
        <a:stretch>
          <a:fillRect/>
        </a:stretch>
      </xdr:blipFill>
      <xdr:spPr>
        <a:xfrm>
          <a:off x="1" y="4267200"/>
          <a:ext cx="3611880" cy="12115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144780</xdr:rowOff>
    </xdr:from>
    <xdr:to>
      <xdr:col>4</xdr:col>
      <xdr:colOff>708660</xdr:colOff>
      <xdr:row>38</xdr:row>
      <xdr:rowOff>175358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F971EE0-FB64-3BA4-F125-7CAAA0738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96940"/>
          <a:ext cx="3878580" cy="11278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10</xdr:col>
      <xdr:colOff>561975</xdr:colOff>
      <xdr:row>68</xdr:row>
      <xdr:rowOff>28575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597F1B1-BE8E-493A-AF64-5EC86A33AF83}"/>
            </a:ext>
          </a:extLst>
        </xdr:cNvPr>
        <xdr:cNvSpPr txBox="1"/>
      </xdr:nvSpPr>
      <xdr:spPr>
        <a:xfrm>
          <a:off x="0" y="9525"/>
          <a:ext cx="8467725" cy="1232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1400" b="1">
              <a:latin typeface="Arial" panose="020B0604020202020204" pitchFamily="34" charset="0"/>
              <a:cs typeface="Arial" panose="020B0604020202020204" pitchFamily="34" charset="0"/>
            </a:rPr>
            <a:t>Resultados:</a:t>
          </a:r>
        </a:p>
        <a:p>
          <a:r>
            <a:rPr lang="es-CR" sz="1400" b="0">
              <a:latin typeface="Arial" panose="020B0604020202020204" pitchFamily="34" charset="0"/>
              <a:cs typeface="Arial" panose="020B0604020202020204" pitchFamily="34" charset="0"/>
            </a:rPr>
            <a:t>El</a:t>
          </a:r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 promedio del peso de las galletas de 7,38 g, el empaque Promedio de (0,58 ±0,063)g .                       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Las gallletas de vainilla presentaron un peso promedio de 7,04 por otro lado las de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chocolate tienen un promedio de 7,72 g. Las galletas de chocolate tienen un peso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mayor, ademas en las galletas de vainilla se obtuvo dos galletas defectuosas.</a:t>
          </a: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El coeficiente de variacion se obtuvo 0,21 , esto quiere decier que las muestras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tienen una semejanza entre ellas.</a:t>
          </a: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En la curtosis se obtuvo un valor de 20,53, los valores estan cerca de la media,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pero aquellos valores atipicos nos dice que puede ser galletas defectuosas que 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afectan el peso y uno de los factores puede ser al tranportarlas.</a:t>
          </a:r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Figura 1 Histograma de peso galletas totales.</a:t>
          </a: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Fuente. Minitab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La mayoria de pesos estan entre 7,6g y 7,9g donde las barras son mas altas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,ademas se observa varios valores atipicos.</a:t>
          </a: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Figura 2. Grafica de caja de peso galletas totales </a:t>
          </a: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La mediana se observa que es de 7,75 g,ademas indica que el 50% de los datos se centran entre 7,6g y 7,85g</a:t>
          </a:r>
        </a:p>
        <a:p>
          <a:endParaRPr lang="es-CR" sz="12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Fuente.Minitab</a:t>
          </a: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Figura 3 Grafica de Barras peso de las muestra vs Peso indicado</a:t>
          </a: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CR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R" sz="1200" b="0" baseline="0">
              <a:latin typeface="Arial" panose="020B0604020202020204" pitchFamily="34" charset="0"/>
              <a:cs typeface="Arial" panose="020B0604020202020204" pitchFamily="34" charset="0"/>
            </a:rPr>
            <a:t>Fuente. Excel</a:t>
          </a:r>
        </a:p>
      </xdr:txBody>
    </xdr:sp>
    <xdr:clientData/>
  </xdr:twoCellAnchor>
  <xdr:twoCellAnchor editAs="oneCell">
    <xdr:from>
      <xdr:col>0</xdr:col>
      <xdr:colOff>278130</xdr:colOff>
      <xdr:row>16</xdr:row>
      <xdr:rowOff>7619</xdr:rowOff>
    </xdr:from>
    <xdr:to>
      <xdr:col>5</xdr:col>
      <xdr:colOff>227720</xdr:colOff>
      <xdr:row>29</xdr:row>
      <xdr:rowOff>40004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36466EF-8F76-49E9-8616-3404B2CCF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30" y="2903219"/>
          <a:ext cx="3902465" cy="2385060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35</xdr:row>
      <xdr:rowOff>127635</xdr:rowOff>
    </xdr:from>
    <xdr:to>
      <xdr:col>4</xdr:col>
      <xdr:colOff>658218</xdr:colOff>
      <xdr:row>46</xdr:row>
      <xdr:rowOff>49529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630F69D-EBFC-4A6B-ACF7-977CAFF46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325" y="6461760"/>
          <a:ext cx="3125193" cy="1912619"/>
        </a:xfrm>
        <a:prstGeom prst="rect">
          <a:avLst/>
        </a:prstGeom>
      </xdr:spPr>
    </xdr:pic>
    <xdr:clientData/>
  </xdr:twoCellAnchor>
  <xdr:twoCellAnchor>
    <xdr:from>
      <xdr:col>0</xdr:col>
      <xdr:colOff>506730</xdr:colOff>
      <xdr:row>52</xdr:row>
      <xdr:rowOff>131444</xdr:rowOff>
    </xdr:from>
    <xdr:to>
      <xdr:col>5</xdr:col>
      <xdr:colOff>470535</xdr:colOff>
      <xdr:row>63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C0F3D4-C5F5-47A8-810D-2C029DD57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561976</xdr:colOff>
      <xdr:row>0</xdr:row>
      <xdr:rowOff>0</xdr:rowOff>
    </xdr:from>
    <xdr:to>
      <xdr:col>22</xdr:col>
      <xdr:colOff>781050</xdr:colOff>
      <xdr:row>68</xdr:row>
      <xdr:rowOff>28575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76C1F44-9085-9C7B-F162-014639CEA879}"/>
            </a:ext>
          </a:extLst>
        </xdr:cNvPr>
        <xdr:cNvSpPr txBox="1"/>
      </xdr:nvSpPr>
      <xdr:spPr>
        <a:xfrm>
          <a:off x="8467726" y="0"/>
          <a:ext cx="9705974" cy="1233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1400" b="1">
              <a:latin typeface="Arial" panose="020B0604020202020204" pitchFamily="34" charset="0"/>
              <a:cs typeface="Arial" panose="020B0604020202020204" pitchFamily="34" charset="0"/>
            </a:rPr>
            <a:t>Conclusiones</a:t>
          </a:r>
        </a:p>
        <a:p>
          <a:r>
            <a:rPr lang="es-CR" sz="1400" b="0">
              <a:latin typeface="Arial" panose="020B0604020202020204" pitchFamily="34" charset="0"/>
              <a:cs typeface="Arial" panose="020B0604020202020204" pitchFamily="34" charset="0"/>
            </a:rPr>
            <a:t>1-Las Galletas Pozuelo cumple</a:t>
          </a:r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 con el peso del empaque de 31,5 gramos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2-Las galletas de chocolate tienden a tener a pesar mas,puede ser el relleno.</a:t>
          </a:r>
        </a:p>
        <a:p>
          <a:r>
            <a:rPr lang="es-CR" sz="1400" b="0" baseline="0">
              <a:latin typeface="Arial" panose="020B0604020202020204" pitchFamily="34" charset="0"/>
              <a:cs typeface="Arial" panose="020B0604020202020204" pitchFamily="34" charset="0"/>
            </a:rPr>
            <a:t>3-La varianza es baja, es decir que la empresa tiene buen control de calidad.</a:t>
          </a:r>
          <a:endParaRPr lang="es-CR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1906-2A87-41CE-B533-24354083C0EF}">
  <sheetPr codeName="Hoja1"/>
  <dimension ref="A1"/>
  <sheetViews>
    <sheetView zoomScale="58" zoomScaleNormal="58" workbookViewId="0">
      <selection activeCell="I11" sqref="I1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2FBE0-3BE9-4720-A37A-4A68761AE71F}">
  <sheetPr codeName="Hoja2"/>
  <dimension ref="A8:N40"/>
  <sheetViews>
    <sheetView topLeftCell="A2" zoomScale="80" zoomScaleNormal="80" workbookViewId="0">
      <selection activeCell="I15" sqref="I15"/>
    </sheetView>
  </sheetViews>
  <sheetFormatPr baseColWidth="10" defaultRowHeight="14.4" x14ac:dyDescent="0.3"/>
  <cols>
    <col min="12" max="12" width="18.88671875" bestFit="1" customWidth="1"/>
    <col min="13" max="13" width="20.33203125" bestFit="1" customWidth="1"/>
    <col min="14" max="14" width="15" bestFit="1" customWidth="1"/>
  </cols>
  <sheetData>
    <row r="8" spans="1:14" x14ac:dyDescent="0.3">
      <c r="D8" s="3" t="s">
        <v>0</v>
      </c>
      <c r="E8" s="8" t="s">
        <v>12</v>
      </c>
      <c r="F8" s="8"/>
      <c r="G8" s="8" t="s">
        <v>13</v>
      </c>
      <c r="H8" s="8"/>
      <c r="I8" s="3" t="s">
        <v>14</v>
      </c>
      <c r="J8" s="3" t="s">
        <v>2</v>
      </c>
      <c r="L8" s="3" t="s">
        <v>24</v>
      </c>
      <c r="M8" s="3" t="s">
        <v>28</v>
      </c>
      <c r="N8" s="3" t="s">
        <v>29</v>
      </c>
    </row>
    <row r="9" spans="1:14" x14ac:dyDescent="0.3">
      <c r="D9" s="1">
        <v>1</v>
      </c>
      <c r="E9" s="1">
        <v>7.5</v>
      </c>
      <c r="F9" s="1">
        <v>7.89</v>
      </c>
      <c r="G9" s="1">
        <v>7.64</v>
      </c>
      <c r="H9" s="1">
        <v>7.87</v>
      </c>
      <c r="I9" s="1">
        <v>0.59</v>
      </c>
      <c r="J9" s="1"/>
      <c r="L9" s="1">
        <v>1</v>
      </c>
      <c r="M9" s="1">
        <v>31.85</v>
      </c>
      <c r="N9" s="1">
        <v>31.5</v>
      </c>
    </row>
    <row r="10" spans="1:14" x14ac:dyDescent="0.3">
      <c r="D10" s="1">
        <v>2</v>
      </c>
      <c r="E10" s="1">
        <v>7.54</v>
      </c>
      <c r="F10" s="1">
        <v>7.91</v>
      </c>
      <c r="G10" s="1">
        <v>7.62</v>
      </c>
      <c r="H10" s="1">
        <v>7.77</v>
      </c>
      <c r="I10" s="1">
        <v>0.63</v>
      </c>
      <c r="J10" s="1"/>
      <c r="L10" s="1">
        <v>2</v>
      </c>
      <c r="M10" s="1">
        <v>31.62</v>
      </c>
      <c r="N10" s="1">
        <v>31.5</v>
      </c>
    </row>
    <row r="11" spans="1:14" x14ac:dyDescent="0.3">
      <c r="D11" s="1">
        <v>3</v>
      </c>
      <c r="E11" s="1">
        <v>7.73</v>
      </c>
      <c r="F11" s="1">
        <v>8.06</v>
      </c>
      <c r="G11" s="1">
        <v>7.62</v>
      </c>
      <c r="H11" s="1">
        <v>7.81</v>
      </c>
      <c r="I11" s="1">
        <v>0.63</v>
      </c>
      <c r="J11" s="1"/>
      <c r="L11" s="1">
        <v>3</v>
      </c>
      <c r="M11" s="1">
        <v>31.86</v>
      </c>
      <c r="N11" s="1">
        <v>31.5</v>
      </c>
    </row>
    <row r="12" spans="1:14" x14ac:dyDescent="0.3">
      <c r="D12" s="1">
        <v>4</v>
      </c>
      <c r="E12" s="1">
        <v>7.56</v>
      </c>
      <c r="F12" s="1">
        <v>7.09</v>
      </c>
      <c r="G12" s="1">
        <v>7.61</v>
      </c>
      <c r="H12" s="1">
        <v>7.64</v>
      </c>
      <c r="I12" s="1">
        <v>0.47</v>
      </c>
      <c r="J12" s="1"/>
      <c r="L12" s="1">
        <v>4</v>
      </c>
      <c r="M12" s="1">
        <v>31.88</v>
      </c>
      <c r="N12" s="1">
        <v>31.5</v>
      </c>
    </row>
    <row r="13" spans="1:14" x14ac:dyDescent="0.3">
      <c r="D13" s="1">
        <v>5</v>
      </c>
      <c r="E13" s="1">
        <v>7.46</v>
      </c>
      <c r="F13" s="1">
        <v>7.86</v>
      </c>
      <c r="G13" s="1">
        <v>7.87</v>
      </c>
      <c r="H13" s="1">
        <v>7.72</v>
      </c>
      <c r="I13" s="1">
        <v>0.52</v>
      </c>
      <c r="J13" s="1"/>
      <c r="L13" s="1">
        <v>5</v>
      </c>
      <c r="M13" s="1">
        <v>31.49</v>
      </c>
      <c r="N13" s="1">
        <v>31.5</v>
      </c>
    </row>
    <row r="14" spans="1:14" x14ac:dyDescent="0.3">
      <c r="D14" s="1">
        <v>6</v>
      </c>
      <c r="E14" s="1">
        <v>7.8</v>
      </c>
      <c r="F14" s="1">
        <v>7.01</v>
      </c>
      <c r="G14" s="1">
        <v>7.76</v>
      </c>
      <c r="H14" s="1">
        <v>7.63</v>
      </c>
      <c r="I14" s="1">
        <v>0.49</v>
      </c>
      <c r="J14" s="1"/>
      <c r="L14" s="1" t="s">
        <v>25</v>
      </c>
      <c r="M14" s="1">
        <f>AVERAGE(M9:M13)</f>
        <v>31.74</v>
      </c>
      <c r="N14" s="1">
        <f>AVERAGE(N9:N13)</f>
        <v>31.5</v>
      </c>
    </row>
    <row r="15" spans="1:14" x14ac:dyDescent="0.3">
      <c r="A15" s="5"/>
      <c r="B15" s="5"/>
      <c r="C15" s="5"/>
      <c r="D15" s="1">
        <v>7</v>
      </c>
      <c r="E15" s="1">
        <v>7.9</v>
      </c>
      <c r="F15" s="1">
        <v>7.44</v>
      </c>
      <c r="G15" s="1">
        <v>7.71</v>
      </c>
      <c r="H15" s="1">
        <v>7.77</v>
      </c>
      <c r="I15" s="1">
        <v>0.63</v>
      </c>
      <c r="J15" s="1"/>
    </row>
    <row r="16" spans="1:14" x14ac:dyDescent="0.3">
      <c r="D16" s="1">
        <v>8</v>
      </c>
      <c r="E16" s="1">
        <v>7.61</v>
      </c>
      <c r="F16" s="1">
        <v>7.93</v>
      </c>
      <c r="G16" s="1">
        <v>7.64</v>
      </c>
      <c r="H16" s="1">
        <v>7.79</v>
      </c>
      <c r="I16" s="1">
        <v>0.53</v>
      </c>
      <c r="J16" s="1"/>
    </row>
    <row r="17" spans="1:10" x14ac:dyDescent="0.3">
      <c r="A17" s="4"/>
      <c r="B17" s="4"/>
      <c r="C17" s="4"/>
      <c r="D17" s="1">
        <v>9</v>
      </c>
      <c r="E17" s="1">
        <v>7.57</v>
      </c>
      <c r="F17" s="1">
        <v>0</v>
      </c>
      <c r="G17" s="1">
        <v>7.85</v>
      </c>
      <c r="H17" s="1">
        <v>7.64</v>
      </c>
      <c r="I17" s="1">
        <v>0.61</v>
      </c>
      <c r="J17" s="1">
        <v>1</v>
      </c>
    </row>
    <row r="18" spans="1:10" x14ac:dyDescent="0.3">
      <c r="A18" s="4"/>
      <c r="B18" s="4"/>
      <c r="C18" s="4"/>
      <c r="D18" s="1">
        <v>10</v>
      </c>
      <c r="E18" s="1">
        <v>7.79</v>
      </c>
      <c r="F18" s="1">
        <v>0</v>
      </c>
      <c r="G18" s="1">
        <v>7.8</v>
      </c>
      <c r="H18" s="1">
        <v>7.62</v>
      </c>
      <c r="I18" s="1">
        <v>0.62</v>
      </c>
      <c r="J18" s="1">
        <v>1</v>
      </c>
    </row>
    <row r="19" spans="1:10" x14ac:dyDescent="0.3">
      <c r="A19" s="4"/>
      <c r="B19" s="4"/>
      <c r="C19" s="4"/>
      <c r="D19" s="1">
        <v>11</v>
      </c>
      <c r="E19" s="1">
        <v>8.09</v>
      </c>
      <c r="F19" s="1">
        <v>7.77</v>
      </c>
      <c r="G19" s="1">
        <v>7.62</v>
      </c>
      <c r="H19" s="1">
        <v>7.78</v>
      </c>
      <c r="I19" s="1">
        <v>0.66</v>
      </c>
      <c r="J19" s="1"/>
    </row>
    <row r="20" spans="1:10" x14ac:dyDescent="0.3">
      <c r="A20" s="4"/>
      <c r="B20" s="4"/>
      <c r="C20" s="4"/>
      <c r="D20" s="1">
        <v>12</v>
      </c>
      <c r="E20" s="1">
        <v>7.92</v>
      </c>
      <c r="F20" s="1">
        <v>7.46</v>
      </c>
      <c r="G20" s="1">
        <v>7.68</v>
      </c>
      <c r="H20" s="1">
        <v>7.82</v>
      </c>
      <c r="I20" s="1">
        <v>0.62</v>
      </c>
      <c r="J20" s="1"/>
    </row>
    <row r="21" spans="1:10" x14ac:dyDescent="0.3">
      <c r="A21" s="4"/>
      <c r="B21" s="4"/>
      <c r="C21" s="4"/>
    </row>
    <row r="22" spans="1:10" x14ac:dyDescent="0.3">
      <c r="A22" s="4"/>
      <c r="B22" s="4"/>
      <c r="C22" s="4"/>
    </row>
    <row r="23" spans="1:10" x14ac:dyDescent="0.3">
      <c r="A23" s="4"/>
      <c r="B23" s="4"/>
      <c r="C23" s="4"/>
    </row>
    <row r="24" spans="1:10" x14ac:dyDescent="0.3">
      <c r="A24" s="4"/>
      <c r="B24" s="4"/>
      <c r="C24" s="4"/>
    </row>
    <row r="25" spans="1:10" x14ac:dyDescent="0.3">
      <c r="A25" s="4"/>
      <c r="B25" s="4"/>
      <c r="C25" s="4"/>
    </row>
    <row r="26" spans="1:10" x14ac:dyDescent="0.3">
      <c r="A26" s="4"/>
      <c r="B26" s="4"/>
      <c r="C26" s="4"/>
    </row>
    <row r="27" spans="1:10" x14ac:dyDescent="0.3">
      <c r="A27" s="4"/>
      <c r="B27" s="4"/>
      <c r="C27" s="4"/>
    </row>
    <row r="28" spans="1:10" x14ac:dyDescent="0.3">
      <c r="A28" s="4"/>
      <c r="B28" s="4"/>
      <c r="C28" s="4"/>
    </row>
    <row r="29" spans="1:10" x14ac:dyDescent="0.3">
      <c r="A29" s="4"/>
      <c r="B29" s="4"/>
      <c r="C29" s="4"/>
    </row>
    <row r="30" spans="1:10" x14ac:dyDescent="0.3">
      <c r="A30" s="4"/>
      <c r="B30" s="4"/>
    </row>
    <row r="31" spans="1:10" x14ac:dyDescent="0.3">
      <c r="A31" s="4"/>
      <c r="B31" s="4"/>
      <c r="C31" s="4"/>
    </row>
    <row r="32" spans="1:10" x14ac:dyDescent="0.3">
      <c r="A32" s="4"/>
      <c r="B32" s="4"/>
      <c r="C32" s="4"/>
    </row>
    <row r="33" spans="1:3" x14ac:dyDescent="0.3">
      <c r="A33" s="4"/>
      <c r="B33" s="4"/>
    </row>
    <row r="34" spans="1:3" x14ac:dyDescent="0.3">
      <c r="A34" s="4"/>
      <c r="B34" s="4"/>
    </row>
    <row r="35" spans="1:3" x14ac:dyDescent="0.3">
      <c r="A35" s="4"/>
      <c r="B35" s="4"/>
      <c r="C35" s="4"/>
    </row>
    <row r="36" spans="1:3" x14ac:dyDescent="0.3">
      <c r="A36" s="4"/>
      <c r="B36" s="4"/>
    </row>
    <row r="37" spans="1:3" x14ac:dyDescent="0.3">
      <c r="A37" s="4"/>
      <c r="B37" s="4"/>
      <c r="C37" s="4"/>
    </row>
    <row r="38" spans="1:3" x14ac:dyDescent="0.3">
      <c r="A38" s="4"/>
      <c r="B38" s="4"/>
    </row>
    <row r="39" spans="1:3" x14ac:dyDescent="0.3">
      <c r="A39" s="4"/>
      <c r="B39" s="4"/>
    </row>
    <row r="40" spans="1:3" x14ac:dyDescent="0.3">
      <c r="A40" s="4"/>
      <c r="B40" s="4"/>
      <c r="C40" s="4"/>
    </row>
  </sheetData>
  <sortState xmlns:xlrd2="http://schemas.microsoft.com/office/spreadsheetml/2017/richdata2" ref="C17:C28">
    <sortCondition ref="C17:C28"/>
  </sortState>
  <mergeCells count="2">
    <mergeCell ref="E8:F8"/>
    <mergeCell ref="G8:H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E8733-8FC7-43A3-A759-EAE3370B1398}">
  <sheetPr codeName="Hoja3"/>
  <dimension ref="B2:G18"/>
  <sheetViews>
    <sheetView workbookViewId="0">
      <selection activeCell="D22" sqref="D22"/>
    </sheetView>
  </sheetViews>
  <sheetFormatPr baseColWidth="10" defaultRowHeight="14.4" x14ac:dyDescent="0.3"/>
  <cols>
    <col min="1" max="2" width="22.6640625" bestFit="1" customWidth="1"/>
    <col min="3" max="3" width="11.5546875" bestFit="1" customWidth="1"/>
    <col min="4" max="4" width="19.88671875" bestFit="1" customWidth="1"/>
    <col min="5" max="5" width="12.5546875" bestFit="1" customWidth="1"/>
    <col min="6" max="6" width="11.5546875" bestFit="1" customWidth="1"/>
    <col min="11" max="11" width="12.6640625" bestFit="1" customWidth="1"/>
  </cols>
  <sheetData>
    <row r="2" spans="2:7" x14ac:dyDescent="0.3">
      <c r="B2" s="9" t="s">
        <v>15</v>
      </c>
      <c r="C2" s="9"/>
      <c r="D2" s="9"/>
      <c r="E2" s="9"/>
    </row>
    <row r="3" spans="2:7" x14ac:dyDescent="0.3">
      <c r="B3" s="1" t="s">
        <v>3</v>
      </c>
      <c r="C3" s="1" t="s">
        <v>16</v>
      </c>
      <c r="D3" s="1" t="s">
        <v>22</v>
      </c>
      <c r="E3" s="1" t="s">
        <v>23</v>
      </c>
      <c r="F3" s="4"/>
      <c r="G3" s="4"/>
    </row>
    <row r="4" spans="2:7" x14ac:dyDescent="0.3">
      <c r="B4" s="1" t="s">
        <v>7</v>
      </c>
      <c r="C4" s="1" t="s">
        <v>17</v>
      </c>
      <c r="D4" s="1" t="str">
        <f>B17</f>
        <v>Curtosis</v>
      </c>
      <c r="E4" s="1" t="s">
        <v>27</v>
      </c>
      <c r="F4" s="4"/>
      <c r="G4" s="4"/>
    </row>
    <row r="5" spans="2:7" x14ac:dyDescent="0.3">
      <c r="B5" s="1" t="s">
        <v>8</v>
      </c>
      <c r="C5" s="1" t="s">
        <v>18</v>
      </c>
      <c r="D5" s="1"/>
      <c r="E5" s="1"/>
      <c r="F5" s="4"/>
      <c r="G5" s="4"/>
    </row>
    <row r="6" spans="2:7" x14ac:dyDescent="0.3">
      <c r="B6" s="1" t="s">
        <v>19</v>
      </c>
      <c r="C6" s="1" t="s">
        <v>20</v>
      </c>
      <c r="D6" s="1"/>
      <c r="E6" s="1"/>
      <c r="F6" s="4"/>
      <c r="G6" s="4"/>
    </row>
    <row r="7" spans="2:7" x14ac:dyDescent="0.3">
      <c r="B7" s="1" t="s">
        <v>10</v>
      </c>
      <c r="C7" s="1" t="s">
        <v>21</v>
      </c>
      <c r="D7" s="1"/>
      <c r="E7" s="1"/>
      <c r="F7" s="4"/>
      <c r="G7" s="4"/>
    </row>
    <row r="8" spans="2:7" x14ac:dyDescent="0.3">
      <c r="B8" s="4"/>
      <c r="C8" s="4"/>
      <c r="D8" s="4"/>
      <c r="E8" s="4"/>
      <c r="F8" s="4"/>
      <c r="G8" s="4"/>
    </row>
    <row r="9" spans="2:7" x14ac:dyDescent="0.3">
      <c r="B9" s="4"/>
      <c r="C9" s="4"/>
      <c r="D9" s="4"/>
      <c r="E9" s="4"/>
      <c r="F9" s="4"/>
      <c r="G9" s="4"/>
    </row>
    <row r="10" spans="2:7" x14ac:dyDescent="0.3">
      <c r="B10" s="2"/>
      <c r="C10" s="2" t="s">
        <v>4</v>
      </c>
      <c r="D10" s="2" t="s">
        <v>5</v>
      </c>
      <c r="E10" s="2" t="s">
        <v>6</v>
      </c>
      <c r="F10" s="2" t="s">
        <v>1</v>
      </c>
      <c r="G10" s="4"/>
    </row>
    <row r="11" spans="2:7" x14ac:dyDescent="0.3">
      <c r="B11" s="1" t="s">
        <v>3</v>
      </c>
      <c r="C11" s="6">
        <f>AVERAGE(Datos!E9:F20)</f>
        <v>7.0370833333333325</v>
      </c>
      <c r="D11" s="6">
        <f>AVERAGE(Datos!G9:H20)</f>
        <v>7.72</v>
      </c>
      <c r="E11" s="6">
        <f>AVERAGE(Datos!E9:H20)</f>
        <v>7.378541666666667</v>
      </c>
      <c r="F11" s="6">
        <f>AVERAGE(Datos!I9:I20)</f>
        <v>0.58333333333333337</v>
      </c>
      <c r="G11" s="4"/>
    </row>
    <row r="12" spans="2:7" x14ac:dyDescent="0.3">
      <c r="B12" s="1" t="s">
        <v>7</v>
      </c>
      <c r="C12" s="1">
        <f>MEDIAN(Datos!E9:F20)</f>
        <v>7.67</v>
      </c>
      <c r="D12" s="1">
        <f>MEDIAN(Datos!G9:H20)</f>
        <v>7.7149999999999999</v>
      </c>
      <c r="E12" s="1">
        <f>MEDIAN(Datos!E9:H20)</f>
        <v>7.7149999999999999</v>
      </c>
      <c r="F12" s="1">
        <f>MEDIAN(Datos!I9:I20)</f>
        <v>0.61499999999999999</v>
      </c>
      <c r="G12" s="4"/>
    </row>
    <row r="13" spans="2:7" x14ac:dyDescent="0.3">
      <c r="B13" s="1" t="s">
        <v>8</v>
      </c>
      <c r="C13" s="1">
        <f>_xlfn.MODE.SNGL(Datos!E9:F20)</f>
        <v>7.46</v>
      </c>
      <c r="D13" s="1">
        <f>_xlfn.MODE.SNGL(Datos!G9:H20)</f>
        <v>7.64</v>
      </c>
      <c r="E13" s="1">
        <f>_xlfn.MODE.SNGL(Datos!E9:H20)</f>
        <v>7.64</v>
      </c>
      <c r="F13" s="1">
        <f>_xlfn.MODE.SNGL(Datos!I9:I20)</f>
        <v>0.63</v>
      </c>
      <c r="G13" s="4"/>
    </row>
    <row r="14" spans="2:7" x14ac:dyDescent="0.3">
      <c r="B14" s="1" t="s">
        <v>9</v>
      </c>
      <c r="C14" s="7">
        <f xml:space="preserve"> _xlfn.STDEV.S(Datos!E9:F20)</f>
        <v>2.18420113575863</v>
      </c>
      <c r="D14" s="7">
        <f>_xlfn.STDEV.S(Datos!G9:H20)</f>
        <v>9.0649827933360266E-2</v>
      </c>
      <c r="E14" s="7">
        <f>_xlfn.STDEV.S(Datos!E9:H20)</f>
        <v>1.5677087082655494</v>
      </c>
      <c r="F14" s="7">
        <f>_xlfn.STDEV.S(Datos!I9:I20)</f>
        <v>6.3436916887899777E-2</v>
      </c>
      <c r="G14" s="4"/>
    </row>
    <row r="15" spans="2:7" x14ac:dyDescent="0.3">
      <c r="B15" s="1" t="s">
        <v>10</v>
      </c>
      <c r="C15" s="7">
        <f>_xlfn.VAR.S(Datos!E9:F20)</f>
        <v>4.7707346014492886</v>
      </c>
      <c r="D15" s="7">
        <f>_xlfn.VAR.S(Datos!G9:H20)</f>
        <v>8.217391304347824E-3</v>
      </c>
      <c r="E15" s="7">
        <f>_xlfn.VAR.S(Datos!E9:H20)</f>
        <v>2.4577105939716373</v>
      </c>
      <c r="F15" s="7">
        <f>_xlfn.VAR.S(Datos!I9:I20)</f>
        <v>4.0242424242423044E-3</v>
      </c>
      <c r="G15" s="4"/>
    </row>
    <row r="16" spans="2:7" x14ac:dyDescent="0.3">
      <c r="B16" s="1" t="s">
        <v>11</v>
      </c>
      <c r="C16" s="6">
        <f>C14/C11</f>
        <v>0.31038443518388964</v>
      </c>
      <c r="D16" s="6">
        <f>D14/D11</f>
        <v>1.1742205690849775E-2</v>
      </c>
      <c r="E16" s="6">
        <f>E14/E11</f>
        <v>0.2124686393447959</v>
      </c>
      <c r="F16" s="6">
        <f>F14/F11</f>
        <v>0.10874900037925675</v>
      </c>
      <c r="G16" s="4"/>
    </row>
    <row r="17" spans="2:7" x14ac:dyDescent="0.3">
      <c r="B17" s="1" t="s">
        <v>26</v>
      </c>
      <c r="C17" s="6">
        <f>KURT(Datos!E9:F20)</f>
        <v>8.7509167946905659</v>
      </c>
      <c r="D17" s="6">
        <f>KURT(Datos!G9:H20)</f>
        <v>-1.4824058531541484</v>
      </c>
      <c r="E17" s="6">
        <f>KURT(Datos!E9:H20)</f>
        <v>20.530385702373394</v>
      </c>
      <c r="F17" s="6">
        <f>KURT(Datos!I9:I20)</f>
        <v>-0.93969643634779532</v>
      </c>
      <c r="G17" s="4"/>
    </row>
    <row r="18" spans="2:7" x14ac:dyDescent="0.3">
      <c r="B18" s="4"/>
      <c r="C18" s="4"/>
      <c r="D18" s="4"/>
      <c r="E18" s="4"/>
      <c r="F18" s="4"/>
      <c r="G18" s="4"/>
    </row>
  </sheetData>
  <mergeCells count="1">
    <mergeCell ref="B2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E9BA-084A-47C1-946F-317E4AF6E1ED}">
  <sheetPr codeName="Hoja4"/>
  <dimension ref="A1"/>
  <sheetViews>
    <sheetView tabSelected="1" zoomScale="80" zoomScaleNormal="80" workbookViewId="0">
      <selection activeCell="M54" sqref="M54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Portada</vt:lpstr>
      <vt:lpstr>Datos</vt:lpstr>
      <vt:lpstr>Calculos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 DEL MILAGRO OBANDO CERVANTES</dc:creator>
  <cp:lastModifiedBy>ARCE MUNGUIA DANIEL EDUARDO</cp:lastModifiedBy>
  <dcterms:created xsi:type="dcterms:W3CDTF">2025-11-07T20:54:15Z</dcterms:created>
  <dcterms:modified xsi:type="dcterms:W3CDTF">2026-05-25T20:00:08Z</dcterms:modified>
</cp:coreProperties>
</file>